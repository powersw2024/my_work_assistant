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60" windowHeight="19005"/>
  </bookViews>
  <sheets>
    <sheet name="报销明细统计表" sheetId="7" r:id="rId1"/>
    <sheet name="Sheet1" sheetId="5" state="hidden" r:id="rId2"/>
    <sheet name="Sheet2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<sst xmlns="http://schemas.openxmlformats.org/spreadsheetml/2006/main" count="24" uniqueCount="21">
  <si>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四川安澜水利项目出差决算单</t>
  </si>
  <si>
    <t>序号</t>
  </si>
  <si>
    <t>详细
项目</t>
  </si>
  <si>
    <t>日期</t>
  </si>
  <si>
    <t>发票</t>
  </si>
  <si>
    <t>收据</t>
  </si>
  <si>
    <t>伙食补贴</t>
  </si>
  <si>
    <t>备注</t>
  </si>
  <si>
    <t>火车</t>
  </si>
  <si>
    <t>昆明南站到内江北站</t>
  </si>
  <si>
    <t>内江北站到重庆北站</t>
  </si>
  <si>
    <t>市内车费</t>
  </si>
  <si>
    <t>金商酒店到昆明南站</t>
  </si>
  <si>
    <t>重庆北站到邻水县</t>
  </si>
  <si>
    <t>车辆费</t>
  </si>
  <si>
    <t>12月20日到12月24日 租车费</t>
  </si>
  <si>
    <t>住宿费</t>
  </si>
  <si>
    <t>12月20日 住宿费</t>
  </si>
  <si>
    <t xml:space="preserve">12月20日到12月23日 住宿费 </t>
  </si>
  <si>
    <t>代开税点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</si>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</sst>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0_ "/>
    <numFmt numFmtId="178" formatCode="[DBNum2][$RMB]General;[Red][DBNum2][$RMB]General"/>
  </numFmts>
  <fonts count="24">
    <font>
      <sz val="12"/>
      <name val="宋体"/>
      <charset val="134"/>
    </font>
    <font>
      <b/>
      <sz val="16"/>
      <name val="黑体"/>
      <charset val="134"/>
    </font>
    <font>
      <sz val="12"/>
      <name val="黑体"/>
      <charset val="134"/>
    </font>
    <font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  <protection locked="0"/>
    </xf>
    <xf numFmtId="176" fontId="2" fillId="0" borderId="4" xfId="0" applyNumberFormat="1" applyFont="1" applyFill="1" applyBorder="1" applyAlignment="1" applyProtection="1">
      <alignment horizontal="center" vertical="center"/>
      <protection locked="0"/>
    </xf>
    <xf numFmtId="177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176" fontId="3" fillId="0" borderId="4" xfId="0" applyNumberFormat="1" applyFont="1" applyFill="1" applyBorder="1" applyAlignment="1">
      <alignment horizontal="left" vertical="center"/>
    </xf>
    <xf numFmtId="177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left" vertical="center"/>
      <protection locked="0"/>
    </xf>
    <xf numFmtId="176" fontId="3" fillId="0" borderId="4" xfId="0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>
      <alignment horizontal="left" vertical="center"/>
    </xf>
    <xf numFmtId="177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 applyProtection="1">
      <alignment horizontal="left" vertical="center"/>
      <protection locked="0"/>
    </xf>
    <xf numFmtId="176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178" fontId="3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9646"/>
      <rgbColor rgb="00FFFFFF"/>
      <rgbColor rgb="00D0E3EA"/>
      <rgbColor rgb="00E9F1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B05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170180</xdr:colOff>
      <xdr:row>90</xdr:row>
      <xdr:rowOff>0</xdr:rowOff>
    </xdr:to>
    <xdr:pic>
      <xdr:nvPicPr>
        <xdr:cNvPr id="1254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209280" cy="1628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170180</xdr:colOff>
      <xdr:row>146</xdr:row>
      <xdr:rowOff>174625</xdr:rowOff>
    </xdr:to>
    <xdr:pic>
      <xdr:nvPicPr>
        <xdr:cNvPr id="2278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209280" cy="26596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30" zoomScaleNormal="130" workbookViewId="0">
      <selection activeCell="A1" sqref="A1:G1"/>
    </sheetView>
  </sheetViews>
  <sheetFormatPr defaultColWidth="8.65833333333333" defaultRowHeight="14.25" outlineLevelCol="6"/>
  <cols>
    <col min="1" max="1" width="8.48333333333333" style="1" customWidth="1"/>
    <col min="2" max="2" width="12.95" style="2" customWidth="1"/>
    <col min="3" max="3" width="10.1916666666667" style="2" customWidth="1"/>
    <col min="4" max="4" width="9.61666666666667" style="2" customWidth="1"/>
    <col min="5" max="5" width="9.5" style="2" customWidth="1"/>
    <col min="6" max="6" width="10" style="2" customWidth="1"/>
    <col min="7" max="7" width="33.625" style="2" customWidth="1"/>
    <col min="8" max="16384" width="8.65833333333333" style="2"/>
  </cols>
  <sheetData>
    <row r="1" ht="46" customHeight="1" spans="1:7">
      <c r="A1" s="3" t="s">
        <v>0</v>
      </c>
      <c r="B1" s="4"/>
      <c r="C1" s="4"/>
      <c r="D1" s="4"/>
      <c r="E1" s="4"/>
      <c r="F1" s="4"/>
      <c r="G1" s="5"/>
    </row>
    <row r="2" spans="1:7">
      <c r="A2" s="6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6" t="s">
        <v>6</v>
      </c>
      <c r="G2" s="9" t="s">
        <v>7</v>
      </c>
    </row>
    <row r="3" spans="1:7">
      <c r="A3" s="10">
        <f>ROW()-2</f>
        <v>1</v>
      </c>
      <c r="B3" s="10" t="s">
        <v>8</v>
      </c>
      <c r="C3" s="11">
        <v>46011</v>
      </c>
      <c r="D3" s="12">
        <v>434</v>
      </c>
      <c r="E3" s="12"/>
      <c r="F3" s="10"/>
      <c r="G3" s="13" t="s">
        <v>9</v>
      </c>
    </row>
    <row r="4" spans="1:7">
      <c r="A4" s="10">
        <f>ROW()-2</f>
        <v>2</v>
      </c>
      <c r="B4" s="10" t="s">
        <v>8</v>
      </c>
      <c r="C4" s="11">
        <v>46015</v>
      </c>
      <c r="D4" s="12">
        <v>84</v>
      </c>
      <c r="E4" s="12"/>
      <c r="F4" s="10"/>
      <c r="G4" s="13" t="s">
        <v>10</v>
      </c>
    </row>
    <row r="5" spans="1:7">
      <c r="A5" s="10">
        <f>ROW()-2</f>
        <v>3</v>
      </c>
      <c r="B5" s="10"/>
      <c r="C5" s="14"/>
      <c r="D5" s="12"/>
      <c r="E5" s="12"/>
      <c r="F5" s="10"/>
      <c r="G5" s="15"/>
    </row>
    <row r="6" ht="17" customHeight="1" spans="1:7">
      <c r="A6" s="10">
        <f>ROW()-2</f>
        <v>4</v>
      </c>
      <c r="B6" s="10" t="s">
        <v>11</v>
      </c>
      <c r="C6" s="11">
        <v>46011</v>
      </c>
      <c r="D6" s="12">
        <v>101.56</v>
      </c>
      <c r="E6" s="12"/>
      <c r="F6" s="10"/>
      <c r="G6" s="16" t="s">
        <v>12</v>
      </c>
    </row>
    <row r="7" ht="17" customHeight="1" spans="1:7">
      <c r="A7" s="10"/>
      <c r="B7" s="10" t="s">
        <v>11</v>
      </c>
      <c r="C7" s="11">
        <v>46015</v>
      </c>
      <c r="D7" s="12">
        <v>40</v>
      </c>
      <c r="E7" s="12"/>
      <c r="F7" s="10"/>
      <c r="G7" s="16" t="s">
        <v>13</v>
      </c>
    </row>
    <row r="8" ht="17" customHeight="1" spans="1:7">
      <c r="A8" s="10">
        <f t="shared" ref="A8:A13" si="0">ROW()-2</f>
        <v>6</v>
      </c>
      <c r="B8" s="10"/>
      <c r="C8" s="11"/>
      <c r="D8" s="12"/>
      <c r="E8" s="12"/>
      <c r="F8" s="17"/>
      <c r="G8" s="16"/>
    </row>
    <row r="9" ht="17" customHeight="1" spans="1:7">
      <c r="A9" s="10">
        <f t="shared" si="0"/>
        <v>7</v>
      </c>
      <c r="B9" s="10" t="s">
        <v>14</v>
      </c>
      <c r="C9" s="11">
        <v>46015</v>
      </c>
      <c r="D9" s="12">
        <v>1008.36</v>
      </c>
      <c r="E9" s="12"/>
      <c r="F9" s="17"/>
      <c r="G9" s="13" t="s">
        <v>15</v>
      </c>
    </row>
    <row r="10" ht="17" customHeight="1" spans="1:7">
      <c r="A10" s="10">
        <f t="shared" si="0"/>
        <v>8</v>
      </c>
      <c r="B10" s="10"/>
      <c r="C10" s="11"/>
      <c r="D10" s="12"/>
      <c r="E10" s="12"/>
      <c r="F10" s="17"/>
      <c r="G10" s="13"/>
    </row>
    <row r="11" ht="17" customHeight="1" spans="1:7">
      <c r="A11" s="10">
        <f t="shared" si="0"/>
        <v>9</v>
      </c>
      <c r="B11" s="10" t="s">
        <v>16</v>
      </c>
      <c r="C11" s="11">
        <v>46011</v>
      </c>
      <c r="D11" s="12">
        <v>150</v>
      </c>
      <c r="E11" s="12"/>
      <c r="F11" s="17"/>
      <c r="G11" s="13" t="s">
        <v>17</v>
      </c>
    </row>
    <row r="12" ht="17" customHeight="1" spans="1:7">
      <c r="A12" s="10">
        <f t="shared" si="0"/>
        <v>10</v>
      </c>
      <c r="B12" s="10" t="s">
        <v>16</v>
      </c>
      <c r="C12" s="11">
        <v>46014</v>
      </c>
      <c r="D12" s="12">
        <v>450</v>
      </c>
      <c r="E12" s="12"/>
      <c r="F12" s="17"/>
      <c r="G12" s="13" t="s">
        <v>18</v>
      </c>
    </row>
    <row r="13" ht="17" customHeight="1" spans="1:7">
      <c r="A13" s="10">
        <f t="shared" si="0"/>
        <v>11</v>
      </c>
      <c r="B13" s="10"/>
      <c r="C13" s="11"/>
      <c r="D13" s="12"/>
      <c r="E13" s="12"/>
      <c r="F13" s="17"/>
      <c r="G13" s="18"/>
    </row>
    <row r="14" ht="17" customHeight="1" spans="1:7">
      <c r="A14" s="10">
        <f t="shared" ref="A14:A27" si="1">ROW()-2</f>
        <v>12</v>
      </c>
      <c r="B14" s="10"/>
      <c r="C14" s="11">
        <v>46011</v>
      </c>
      <c r="D14" s="17"/>
      <c r="E14" s="17"/>
      <c r="F14" s="17">
        <v>90</v>
      </c>
      <c r="G14" s="18"/>
    </row>
    <row r="15" ht="17" customHeight="1" spans="1:7">
      <c r="A15" s="10">
        <f t="shared" si="1"/>
        <v>13</v>
      </c>
      <c r="B15" s="10"/>
      <c r="C15" s="11">
        <v>46012</v>
      </c>
      <c r="D15" s="17"/>
      <c r="E15" s="17"/>
      <c r="F15" s="17">
        <v>90</v>
      </c>
      <c r="G15" s="18"/>
    </row>
    <row r="16" ht="17" customHeight="1" spans="1:7">
      <c r="A16" s="10">
        <f t="shared" si="1"/>
        <v>14</v>
      </c>
      <c r="B16" s="10"/>
      <c r="C16" s="11">
        <v>46013</v>
      </c>
      <c r="D16" s="17"/>
      <c r="E16" s="17"/>
      <c r="F16" s="17">
        <v>90</v>
      </c>
      <c r="G16" s="13"/>
    </row>
    <row r="17" ht="17" customHeight="1" spans="1:7">
      <c r="A17" s="10">
        <f t="shared" si="1"/>
        <v>15</v>
      </c>
      <c r="B17" s="10"/>
      <c r="C17" s="11">
        <v>46014</v>
      </c>
      <c r="D17" s="17"/>
      <c r="E17" s="17"/>
      <c r="F17" s="17">
        <v>90</v>
      </c>
      <c r="G17" s="13"/>
    </row>
    <row r="18" ht="17" customHeight="1" spans="1:7">
      <c r="A18" s="10">
        <f t="shared" si="1"/>
        <v>16</v>
      </c>
      <c r="B18" s="10"/>
      <c r="C18" s="11">
        <v>46015</v>
      </c>
      <c r="D18" s="17"/>
      <c r="E18" s="17"/>
      <c r="F18" s="17">
        <v>90</v>
      </c>
      <c r="G18" s="13"/>
    </row>
    <row r="19" ht="17" customHeight="1" spans="1:7">
      <c r="A19" s="10">
        <f t="shared" si="1"/>
        <v>17</v>
      </c>
      <c r="B19" s="19" t="s">
        <v>19</v>
      </c>
      <c r="C19" s="20"/>
      <c r="D19" s="17"/>
      <c r="E19" s="21"/>
      <c r="F19" s="17"/>
      <c r="G19" s="22"/>
    </row>
    <row r="20" ht="17" customHeight="1" spans="1:7">
      <c r="A20" s="20"/>
      <c r="B20" s="20" t="s">
        <v>20</v>
      </c>
      <c r="C20" s="20"/>
      <c r="D20" s="20">
        <f>SUM(D3:D19)</f>
        <v>2267.92</v>
      </c>
      <c r="E20" s="20">
        <f>SUM(E3:E19)</f>
        <v>0</v>
      </c>
      <c r="F20" s="20">
        <f>SUM(F3:F19)</f>
        <v>450</v>
      </c>
      <c r="G20" s="20">
        <f>SUM(D20:F20)</f>
        <v>2717.92</v>
      </c>
    </row>
    <row r="21" spans="1:7">
      <c r="A21" s="23"/>
      <c r="B21" s="23"/>
      <c r="C21" s="23"/>
      <c r="D21" s="23"/>
      <c r="E21" s="23"/>
      <c r="F21" s="23"/>
      <c r="G21" s="24">
        <f>G20</f>
        <v>2717.92</v>
      </c>
    </row>
  </sheetData>
  <mergeCells count="1">
    <mergeCell ref="A1:G1"/>
  </mergeCells>
  <printOptions horizontalCentered="1"/>
  <pageMargins left="0.393055555555556" right="0.393055555555556" top="0.393055555555556" bottom="0.393055555555556" header="0.5" footer="0.5"/>
  <pageSetup paperSize="9" scale="82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9166666666667" defaultRowHeight="14.25"/>
  <sheetData/>
  <pageMargins left="0.75" right="0.75" top="1" bottom="1" header="0.5" footer="0.5"/>
  <pageSetup paperSize="9" scale="82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0" zoomScaleNormal="10" workbookViewId="0">
      <selection activeCell="DG79" sqref="DG79"/>
    </sheetView>
  </sheetViews>
  <sheetFormatPr defaultColWidth="8.79166666666667" defaultRowHeight="14.25"/>
  <sheetData/>
  <pageMargins left="0.75" right="0.75" top="1" bottom="1" header="0.5" footer="0.5"/>
  <pageSetup paperSize="9" scale="8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个人版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报销明细统计表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刘林焜</cp:lastModifiedBy>
  <cp:revision>1</cp:revision>
  <dcterms:created xsi:type="dcterms:W3CDTF">2014-10-09T15:26:00Z</dcterms:created>
  <dcterms:modified xsi:type="dcterms:W3CDTF">2025-12-26T07:48:25Z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EB453B07E74E15FC0A89CE68A5B5473F_43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